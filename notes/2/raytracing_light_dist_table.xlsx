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nichre-my.sharepoint.com/personal/jmyslinski_munichre_com/Documents/ray_tracing_notes/"/>
    </mc:Choice>
  </mc:AlternateContent>
  <xr:revisionPtr revIDLastSave="26" documentId="8_{12DBE1D6-B289-47C0-A770-404FFDB4E32E}" xr6:coauthVersionLast="47" xr6:coauthVersionMax="47" xr10:uidLastSave="{6843B5BF-BA25-4285-8E26-F2B03B34D732}"/>
  <bookViews>
    <workbookView xWindow="-28920" yWindow="-120" windowWidth="29040" windowHeight="15840" xr2:uid="{B2B4B0FB-BE4D-40E2-BAF6-5CA4CCC8D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S9" i="1"/>
  <c r="S10" i="1"/>
  <c r="S11" i="1"/>
  <c r="N11" i="1"/>
  <c r="N10" i="1"/>
  <c r="N9" i="1"/>
  <c r="N8" i="1"/>
  <c r="N7" i="1"/>
  <c r="N6" i="1"/>
  <c r="N5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<sst xmlns="http://schemas.openxmlformats.org/spreadsheetml/2006/main" count="23" uniqueCount="16">
  <si>
    <t>Uniform</t>
  </si>
  <si>
    <t>Power</t>
  </si>
  <si>
    <t>Centroid-Distance</t>
  </si>
  <si>
    <t>Voxels-125</t>
  </si>
  <si>
    <t>Voxels-512</t>
  </si>
  <si>
    <t>Voxels-1000</t>
  </si>
  <si>
    <t>Voxels-2197</t>
  </si>
  <si>
    <t>r</t>
  </si>
  <si>
    <t>g</t>
  </si>
  <si>
    <t>b</t>
  </si>
  <si>
    <t>% Reduction RMSE</t>
  </si>
  <si>
    <t>y()</t>
  </si>
  <si>
    <t>seconds</t>
  </si>
  <si>
    <t>% Time decrease</t>
  </si>
  <si>
    <t>allocations</t>
  </si>
  <si>
    <t>% Allocation 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</si>
</sst>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2C72C-4CC7-4D24-BC24-6D546A866B55}">
  <dimension ref="C4:S11"/>
  <sheetViews>
    <sheetView tabSelected="1" workbookViewId="0">
      <selection activeCell="S8" sqref="S8"/>
    </sheetView>
  </sheetViews>
  <sheetFormatPr defaultRowHeight="12.75" x14ac:dyDescent="0.2"/>
  <cols>
    <col min="3" max="3" width="15.85546875" bestFit="1" customWidth="1"/>
    <col min="12" max="12" width="17.85546875" bestFit="1" customWidth="1"/>
    <col min="13" max="13" width="15.5703125" bestFit="1" customWidth="1"/>
  </cols>
  <sheetData>
    <row r="4" spans="3:19" x14ac:dyDescent="0.2">
      <c r="D4" t="s">
        <v>7</v>
      </c>
      <c r="E4" t="s">
        <v>8</v>
      </c>
      <c r="F4" t="s">
        <v>9</v>
      </c>
      <c r="G4" t="s">
        <v>11</v>
      </c>
      <c r="H4" t="s">
        <v>12</v>
      </c>
      <c r="I4" t="s">
        <v>14</v>
      </c>
      <c r="L4" t="s">
        <v>10</v>
      </c>
      <c r="M4" t="s">
        <v>13</v>
      </c>
      <c r="N4" t="s">
        <v>15</v>
      </c>
    </row>
    <row r="5" spans="3:19" x14ac:dyDescent="0.2">
      <c r="C5" t="s">
        <v>0</v>
      </c>
      <c r="D5">
        <v>0.127257792445232</v>
      </c>
      <c r="E5">
        <v>0.12250715312536201</v>
      </c>
      <c r="F5">
        <v>0.12668112113980901</v>
      </c>
      <c r="G5" s="1">
        <f>AVERAGE(D5:F5)</f>
        <v>0.12548202223680102</v>
      </c>
      <c r="H5" s="1">
        <v>148.23482000000001</v>
      </c>
      <c r="I5" s="1">
        <v>178.91200000000001</v>
      </c>
      <c r="J5" s="1"/>
      <c r="K5" t="s">
        <v>0</v>
      </c>
      <c r="L5" s="2">
        <f>1-G5/G$5</f>
        <v>0</v>
      </c>
      <c r="M5" s="2">
        <f t="shared" ref="M5:N11" si="0">1-H5/H$5</f>
        <v>0</v>
      </c>
      <c r="N5" s="2">
        <f t="shared" si="0"/>
        <v>0</v>
      </c>
    </row>
    <row r="6" spans="3:19" x14ac:dyDescent="0.2">
      <c r="C6" t="s">
        <v>1</v>
      </c>
      <c r="D6">
        <v>9.7487234321894795E-2</v>
      </c>
      <c r="E6">
        <v>7.7170191046491907E-2</v>
      </c>
      <c r="F6">
        <v>0.110325572582662</v>
      </c>
      <c r="G6" s="1">
        <f>AVERAGE(D6:F6)</f>
        <v>9.4994332650349567E-2</v>
      </c>
      <c r="H6" s="1">
        <v>164.560294</v>
      </c>
      <c r="I6" s="1">
        <v>205.11</v>
      </c>
      <c r="J6" s="1"/>
      <c r="K6" t="s">
        <v>1</v>
      </c>
      <c r="L6" s="2">
        <f t="shared" ref="L6:L11" si="1">1-G6/G$5</f>
        <v>0.24296460196439285</v>
      </c>
      <c r="M6" s="2">
        <f t="shared" si="0"/>
        <v>-0.11013251812226033</v>
      </c>
      <c r="N6" s="2">
        <f t="shared" si="0"/>
        <v>-0.14642952960114464</v>
      </c>
    </row>
    <row r="7" spans="3:19" x14ac:dyDescent="0.2">
      <c r="C7" t="s">
        <v>2</v>
      </c>
      <c r="D7">
        <v>0.11845241752433799</v>
      </c>
      <c r="E7">
        <v>0.113395891645556</v>
      </c>
      <c r="F7">
        <v>0.117756098485509</v>
      </c>
      <c r="G7" s="1">
        <f>AVERAGE(D7:F7)</f>
        <v>0.116534802551801</v>
      </c>
      <c r="H7" s="1">
        <v>146.30170200000001</v>
      </c>
      <c r="I7" s="1">
        <v>172.59700000000001</v>
      </c>
      <c r="J7" s="1"/>
      <c r="K7" t="s">
        <v>2</v>
      </c>
      <c r="L7" s="2">
        <f t="shared" si="1"/>
        <v>7.1302801194225607E-2</v>
      </c>
      <c r="M7" s="2">
        <f t="shared" si="0"/>
        <v>1.3040917107060346E-2</v>
      </c>
      <c r="N7" s="2">
        <f t="shared" si="0"/>
        <v>3.52966821677696E-2</v>
      </c>
    </row>
    <row r="8" spans="3:19" x14ac:dyDescent="0.2">
      <c r="C8" t="s">
        <v>3</v>
      </c>
      <c r="D8">
        <v>0.105580828212735</v>
      </c>
      <c r="E8">
        <v>9.8888089977379703E-2</v>
      </c>
      <c r="F8">
        <v>0.105028379793248</v>
      </c>
      <c r="G8" s="1">
        <f>AVERAGE(D8:F8)</f>
        <v>0.10316576599445422</v>
      </c>
      <c r="H8" s="1">
        <v>152.89612399999999</v>
      </c>
      <c r="I8" s="1">
        <v>179.14</v>
      </c>
      <c r="J8" s="1"/>
      <c r="K8" t="s">
        <v>3</v>
      </c>
      <c r="L8" s="2">
        <f t="shared" si="1"/>
        <v>0.17784425086992228</v>
      </c>
      <c r="M8" s="2">
        <f t="shared" si="0"/>
        <v>-3.1445405337288346E-2</v>
      </c>
      <c r="N8" s="2">
        <f t="shared" si="0"/>
        <v>-1.2743695224466389E-3</v>
      </c>
      <c r="R8">
        <v>125</v>
      </c>
      <c r="S8">
        <f>R8^(1/3)</f>
        <v>5.0000000000000009</v>
      </c>
    </row>
    <row r="9" spans="3:19" x14ac:dyDescent="0.2">
      <c r="C9" t="s">
        <v>4</v>
      </c>
      <c r="D9">
        <v>9.8514566087404304E-2</v>
      </c>
      <c r="E9">
        <v>9.2619913392974401E-2</v>
      </c>
      <c r="F9">
        <v>0.103687299964439</v>
      </c>
      <c r="G9" s="1">
        <f>AVERAGE(D9:F9)</f>
        <v>9.8273926481605892E-2</v>
      </c>
      <c r="H9" s="1">
        <v>147.11093600000001</v>
      </c>
      <c r="I9" s="1">
        <v>179.18799999999999</v>
      </c>
      <c r="J9" s="1"/>
      <c r="K9" t="s">
        <v>4</v>
      </c>
      <c r="L9" s="2">
        <f t="shared" si="1"/>
        <v>0.21682863624758841</v>
      </c>
      <c r="M9" s="2">
        <f t="shared" si="0"/>
        <v>7.5817813925230793E-3</v>
      </c>
      <c r="N9" s="2">
        <f t="shared" si="0"/>
        <v>-1.5426578429618143E-3</v>
      </c>
      <c r="R9">
        <v>512</v>
      </c>
      <c r="S9">
        <f>R9^(1/3)</f>
        <v>7.9999999999999982</v>
      </c>
    </row>
    <row r="10" spans="3:19" x14ac:dyDescent="0.2">
      <c r="C10" t="s">
        <v>5</v>
      </c>
      <c r="D10">
        <v>0.120025241261003</v>
      </c>
      <c r="E10">
        <v>0.11638050487764701</v>
      </c>
      <c r="F10">
        <v>0.121390107211165</v>
      </c>
      <c r="G10" s="1">
        <f>AVERAGE(D10:F10)</f>
        <v>0.11926528444993834</v>
      </c>
      <c r="H10" s="1">
        <v>152.043801</v>
      </c>
      <c r="I10" s="1">
        <v>179.18799999999999</v>
      </c>
      <c r="J10" s="1"/>
      <c r="K10" t="s">
        <v>5</v>
      </c>
      <c r="L10" s="2">
        <f t="shared" si="1"/>
        <v>4.9542856227889676E-2</v>
      </c>
      <c r="M10" s="2">
        <f t="shared" si="0"/>
        <v>-2.5695588931129665E-2</v>
      </c>
      <c r="N10" s="2">
        <f t="shared" si="0"/>
        <v>-1.5426578429618143E-3</v>
      </c>
      <c r="R10">
        <v>1000</v>
      </c>
      <c r="S10">
        <f>R10^(1/3)</f>
        <v>9.9999999999999982</v>
      </c>
    </row>
    <row r="11" spans="3:19" x14ac:dyDescent="0.2">
      <c r="C11" t="s">
        <v>6</v>
      </c>
      <c r="D11">
        <v>0.13581014949994899</v>
      </c>
      <c r="E11">
        <v>0.128069387714764</v>
      </c>
      <c r="F11">
        <v>0.133365571427292</v>
      </c>
      <c r="G11" s="1">
        <f>AVERAGE(D11:F11)</f>
        <v>0.13241503621400166</v>
      </c>
      <c r="H11" s="1">
        <v>151.022617</v>
      </c>
      <c r="I11" s="1">
        <v>179.20699999999999</v>
      </c>
      <c r="J11" s="1"/>
      <c r="K11" t="s">
        <v>6</v>
      </c>
      <c r="L11" s="2">
        <f t="shared" si="1"/>
        <v>-5.5251053924817439E-2</v>
      </c>
      <c r="M11" s="2">
        <f t="shared" si="0"/>
        <v>-1.8806627214847271E-2</v>
      </c>
      <c r="N11" s="2">
        <f t="shared" si="0"/>
        <v>-1.6488553031657194E-3</v>
      </c>
      <c r="R11">
        <v>2197</v>
      </c>
      <c r="S11">
        <f>R11^(1/3)</f>
        <v>12.999999999999995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Myslinski John - NewYork-MARC</dc:creator>
  <cp:lastModifiedBy>Myslinski John - NewYork-MARC</cp:lastModifiedBy>
  <dcterms:created xsi:type="dcterms:W3CDTF">2024-10-14T20:46:13Z</dcterms:created>
  <dcterms:modified xsi:type="dcterms:W3CDTF">2024-10-14T21:04:37Z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5d0447-72b7-4595-8ee5-b32b4892557e_Enabled">
    <vt:lpwstr>true</vt:lpwstr>
  </property>
  <property fmtid="{D5CDD505-2E9C-101B-9397-08002B2CF9AE}" pid="3" name="MSIP_Label_f45d0447-72b7-4595-8ee5-b32b4892557e_SetDate">
    <vt:lpwstr>2024-10-14T20:52:15Z</vt:lpwstr>
  </property>
  <property fmtid="{D5CDD505-2E9C-101B-9397-08002B2CF9AE}" pid="4" name="MSIP_Label_f45d0447-72b7-4595-8ee5-b32b4892557e_Method">
    <vt:lpwstr>Privileged</vt:lpwstr>
  </property>
  <property fmtid="{D5CDD505-2E9C-101B-9397-08002B2CF9AE}" pid="5" name="MSIP_Label_f45d0447-72b7-4595-8ee5-b32b4892557e_Name">
    <vt:lpwstr>f45d0447-72b7-4595-8ee5-b32b4892557e</vt:lpwstr>
  </property>
  <property fmtid="{D5CDD505-2E9C-101B-9397-08002B2CF9AE}" pid="6" name="MSIP_Label_f45d0447-72b7-4595-8ee5-b32b4892557e_SiteId">
    <vt:lpwstr>582259a1-dcaa-4cca-b1cf-e60d3f045ecd</vt:lpwstr>
  </property>
  <property fmtid="{D5CDD505-2E9C-101B-9397-08002B2CF9AE}" pid="7" name="MSIP_Label_f45d0447-72b7-4595-8ee5-b32b4892557e_ActionId">
    <vt:lpwstr>b67daf3e-b83a-4bea-98f3-ae97c2f40059</vt:lpwstr>
  </property>
  <property fmtid="{D5CDD505-2E9C-101B-9397-08002B2CF9AE}" pid="8" name="MSIP_Label_f45d0447-72b7-4595-8ee5-b32b4892557e_ContentBits">
    <vt:lpwstr>0</vt:lpwstr>
  </property>
</Properties>
</file>